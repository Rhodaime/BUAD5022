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eachingMaterials\BusinessAnalytics\Cases\3M\CapInvTradeoffSpreadsheets\"/>
    </mc:Choice>
  </mc:AlternateContent>
  <bookViews>
    <workbookView xWindow="0" yWindow="0" windowWidth="25140" windowHeight="9270"/>
  </bookViews>
  <sheets>
    <sheet name="ProductionScheduleOptimization" sheetId="1" r:id="rId1"/>
    <sheet name="CapInvTradeoff" sheetId="2" r:id="rId2"/>
  </sheets>
  <definedNames>
    <definedName name="AvgDemand" localSheetId="0">ProductionScheduleOptimization!$B$4</definedName>
    <definedName name="AvgInventory" localSheetId="0">ProductionScheduleOptimization!$B$5</definedName>
    <definedName name="Capacity" localSheetId="0">ProductionScheduleOptimization!$B$3</definedName>
    <definedName name="CapacitySeries" localSheetId="0">ProductionScheduleOptimization!$E$8:$E$57</definedName>
    <definedName name="Demand" localSheetId="0">ProductionScheduleOptimization!$B$8:$B$57</definedName>
    <definedName name="HeadAvgInv" localSheetId="1">CapInvTradeoff!$B$3</definedName>
    <definedName name="HeadCap" localSheetId="1">CapInvTradeoff!$A$3</definedName>
    <definedName name="Inventory" localSheetId="0">ProductionScheduleOptimization!$D$8:$D$57</definedName>
    <definedName name="ProductionSchedule" localSheetId="0">ProductionScheduleOptimization!$C$8:$C$57</definedName>
    <definedName name="solver_adj" localSheetId="0" hidden="1">ProductionScheduleOptimization!$C$8:$C$57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ProductionScheduleOptimization!$C$8:$C$57</definedName>
    <definedName name="solver_lhs2" localSheetId="0" hidden="1">ProductionScheduleOptimization!$D$8:$D$57</definedName>
    <definedName name="solver_lhs3" localSheetId="0" hidden="1">ProductionScheduleOptimization!$C$8:$C$57</definedName>
    <definedName name="solver_lhs4" localSheetId="0" hidden="1">ProductionScheduleOptimization!$D$8:$D$57</definedName>
    <definedName name="solver_lhs5" localSheetId="0" hidden="1">ProductionScheduleOptimization!$C$8:$C$57</definedName>
    <definedName name="solver_lhs6" localSheetId="0" hidden="1">ProductionScheduleOptimization!$D$8:$D$57</definedName>
    <definedName name="solver_lhs7" localSheetId="0" hidden="1">ProductionScheduleOptimization!$C$8:$C$57</definedName>
    <definedName name="solver_lhs8" localSheetId="0" hidden="1">ProductionScheduleOptimization!$D$8:$D$57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ProductionScheduleOptimization!$B$5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hs1" localSheetId="0" hidden="1">ProductionScheduleOptimization!$B$3</definedName>
    <definedName name="solver_rhs2" localSheetId="0" hidden="1">0</definedName>
    <definedName name="solver_rhs3" localSheetId="0" hidden="1">ProductionScheduleOptimization!Capacity</definedName>
    <definedName name="solver_rhs4" localSheetId="0" hidden="1">0</definedName>
    <definedName name="solver_rhs5" localSheetId="0" hidden="1">ProductionScheduleOptimization!Capacity</definedName>
    <definedName name="solver_rhs6" localSheetId="0" hidden="1">0</definedName>
    <definedName name="solver_rhs7" localSheetId="0" hidden="1">ProductionScheduleOptimization!Capacity</definedName>
    <definedName name="solver_rhs8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8" i="1"/>
  <c r="A4" i="2" l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D8" i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B4" i="1"/>
  <c r="B5" i="1" l="1"/>
</calcChain>
</file>

<file path=xl/sharedStrings.xml><?xml version="1.0" encoding="utf-8"?>
<sst xmlns="http://schemas.openxmlformats.org/spreadsheetml/2006/main" count="15" uniqueCount="11">
  <si>
    <t>Week</t>
  </si>
  <si>
    <t>Capacity</t>
  </si>
  <si>
    <t>units/week</t>
  </si>
  <si>
    <t>Demand/Orders</t>
  </si>
  <si>
    <t>Production Scheduling Optimization</t>
  </si>
  <si>
    <t>Avg. Demand</t>
  </si>
  <si>
    <t>Production</t>
  </si>
  <si>
    <t>Inventory</t>
  </si>
  <si>
    <t>Avg. Inventory</t>
  </si>
  <si>
    <t>units</t>
  </si>
  <si>
    <t>Capacity-Inventory Tradeoff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</si>
</sst>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b/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/>
    </xf>
    <xf numFmtId="164" fontId="0" fillId="0" borderId="1" xfId="1" applyNumberFormat="1" applyFont="1" applyBorder="1"/>
    <xf numFmtId="0" fontId="0" fillId="2" borderId="1" xfId="0" applyFill="1" applyBorder="1"/>
    <xf numFmtId="0" fontId="0" fillId="3" borderId="1" xfId="0" applyFill="1" applyBorder="1"/>
    <xf numFmtId="164" fontId="0" fillId="3" borderId="1" xfId="1" applyNumberFormat="1" applyFont="1" applyFill="1" applyBorder="1"/>
    <xf numFmtId="164" fontId="0" fillId="2" borderId="1" xfId="1" applyNumberFormat="1" applyFont="1" applyFill="1" applyBorder="1"/>
    <xf numFmtId="0" fontId="0" fillId="0" borderId="0" xfId="0" applyFill="1" applyBorder="1"/>
    <xf numFmtId="43" fontId="0" fillId="0" borderId="1" xfId="1" applyFont="1" applyBorder="1"/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1" xfId="0" applyFill="1" applyBorder="1"/>
    <xf numFmtId="164" fontId="0" fillId="4" borderId="1" xfId="1" applyNumberFormat="1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CCFFCC"/>
      <color rgb="FF99FF99"/>
      <color rgb="FFFF99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Weekly Demand and</a:t>
            </a:r>
            <a:r>
              <a:rPr lang="en-US" sz="1800" baseline="0"/>
              <a:t> Optimal</a:t>
            </a:r>
            <a:r>
              <a:rPr lang="en-US" sz="1800"/>
              <a:t> </a:t>
            </a:r>
            <a:r>
              <a:rPr lang="en-US" sz="1800" b="0" i="0" u="none" strike="noStrike" baseline="0">
                <a:effectLst/>
              </a:rPr>
              <a:t>Production </a:t>
            </a:r>
            <a:r>
              <a:rPr lang="en-US" sz="1800"/>
              <a:t>Schedule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ProductionScheduleOptimization!$B$7</c:f>
              <c:strCache>
                <c:ptCount val="1"/>
                <c:pt idx="0">
                  <c:v>Demand/Orders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ProductionScheduleOptimization!$A$8:$A$59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ProductionScheduleOptimization!$B$8:$B$57</c:f>
              <c:numCache>
                <c:formatCode>General</c:formatCode>
                <c:ptCount val="50"/>
                <c:pt idx="0">
                  <c:v>1009</c:v>
                </c:pt>
                <c:pt idx="1">
                  <c:v>962</c:v>
                </c:pt>
                <c:pt idx="2">
                  <c:v>955</c:v>
                </c:pt>
                <c:pt idx="3">
                  <c:v>1012</c:v>
                </c:pt>
                <c:pt idx="4">
                  <c:v>987</c:v>
                </c:pt>
                <c:pt idx="5">
                  <c:v>961</c:v>
                </c:pt>
                <c:pt idx="6">
                  <c:v>1020</c:v>
                </c:pt>
                <c:pt idx="7">
                  <c:v>1011</c:v>
                </c:pt>
                <c:pt idx="8">
                  <c:v>973</c:v>
                </c:pt>
                <c:pt idx="9">
                  <c:v>1912</c:v>
                </c:pt>
                <c:pt idx="10">
                  <c:v>1943</c:v>
                </c:pt>
                <c:pt idx="11">
                  <c:v>1930</c:v>
                </c:pt>
                <c:pt idx="12">
                  <c:v>1990</c:v>
                </c:pt>
                <c:pt idx="13">
                  <c:v>1050</c:v>
                </c:pt>
                <c:pt idx="14">
                  <c:v>1030</c:v>
                </c:pt>
                <c:pt idx="15">
                  <c:v>960</c:v>
                </c:pt>
                <c:pt idx="16">
                  <c:v>958</c:v>
                </c:pt>
                <c:pt idx="17">
                  <c:v>1015</c:v>
                </c:pt>
                <c:pt idx="18">
                  <c:v>1014</c:v>
                </c:pt>
                <c:pt idx="19">
                  <c:v>1003</c:v>
                </c:pt>
                <c:pt idx="20">
                  <c:v>1028</c:v>
                </c:pt>
                <c:pt idx="21">
                  <c:v>976</c:v>
                </c:pt>
                <c:pt idx="22">
                  <c:v>959</c:v>
                </c:pt>
                <c:pt idx="23">
                  <c:v>953</c:v>
                </c:pt>
                <c:pt idx="24">
                  <c:v>1036</c:v>
                </c:pt>
                <c:pt idx="25">
                  <c:v>959</c:v>
                </c:pt>
                <c:pt idx="26">
                  <c:v>1010</c:v>
                </c:pt>
                <c:pt idx="27">
                  <c:v>987</c:v>
                </c:pt>
                <c:pt idx="28">
                  <c:v>1010</c:v>
                </c:pt>
                <c:pt idx="29">
                  <c:v>1944</c:v>
                </c:pt>
                <c:pt idx="30">
                  <c:v>1979</c:v>
                </c:pt>
                <c:pt idx="31">
                  <c:v>2029</c:v>
                </c:pt>
                <c:pt idx="32">
                  <c:v>2050</c:v>
                </c:pt>
                <c:pt idx="33">
                  <c:v>3080</c:v>
                </c:pt>
                <c:pt idx="34">
                  <c:v>3110</c:v>
                </c:pt>
                <c:pt idx="35">
                  <c:v>4074</c:v>
                </c:pt>
                <c:pt idx="36">
                  <c:v>5140</c:v>
                </c:pt>
                <c:pt idx="37">
                  <c:v>6137</c:v>
                </c:pt>
                <c:pt idx="38">
                  <c:v>5991</c:v>
                </c:pt>
                <c:pt idx="39">
                  <c:v>5213</c:v>
                </c:pt>
                <c:pt idx="40">
                  <c:v>3888</c:v>
                </c:pt>
                <c:pt idx="41">
                  <c:v>1913</c:v>
                </c:pt>
                <c:pt idx="42">
                  <c:v>1912</c:v>
                </c:pt>
                <c:pt idx="43">
                  <c:v>1939</c:v>
                </c:pt>
                <c:pt idx="44">
                  <c:v>2097</c:v>
                </c:pt>
                <c:pt idx="45">
                  <c:v>3085</c:v>
                </c:pt>
                <c:pt idx="46">
                  <c:v>5008</c:v>
                </c:pt>
                <c:pt idx="47">
                  <c:v>6099</c:v>
                </c:pt>
                <c:pt idx="48">
                  <c:v>5798</c:v>
                </c:pt>
                <c:pt idx="49">
                  <c:v>7151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5-4A5B-AACD-D66A04437CC7}"/>
            </c:ext>
          </c:extLst>
        </c:ser>
        <c:ser>
          <c:idx val="0"/>
          <c:order val="1"/>
          <c:tx>
            <c:v>Production Schedule</c:v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ProductionScheduleOptimization!$C$8:$C$57</c:f>
              <c:numCache>
                <c:formatCode>General</c:formatCode>
                <c:ptCount val="50"/>
                <c:pt idx="0">
                  <c:v>1009</c:v>
                </c:pt>
                <c:pt idx="1">
                  <c:v>962</c:v>
                </c:pt>
                <c:pt idx="2">
                  <c:v>2179</c:v>
                </c:pt>
                <c:pt idx="3">
                  <c:v>2300</c:v>
                </c:pt>
                <c:pt idx="4">
                  <c:v>2300</c:v>
                </c:pt>
                <c:pt idx="5">
                  <c:v>2300</c:v>
                </c:pt>
                <c:pt idx="6">
                  <c:v>2300</c:v>
                </c:pt>
                <c:pt idx="7">
                  <c:v>2300</c:v>
                </c:pt>
                <c:pt idx="8">
                  <c:v>2300</c:v>
                </c:pt>
                <c:pt idx="9">
                  <c:v>2300</c:v>
                </c:pt>
                <c:pt idx="10">
                  <c:v>2300</c:v>
                </c:pt>
                <c:pt idx="11">
                  <c:v>2300</c:v>
                </c:pt>
                <c:pt idx="12">
                  <c:v>2300</c:v>
                </c:pt>
                <c:pt idx="13">
                  <c:v>2300</c:v>
                </c:pt>
                <c:pt idx="14">
                  <c:v>2300</c:v>
                </c:pt>
                <c:pt idx="15">
                  <c:v>2300</c:v>
                </c:pt>
                <c:pt idx="16">
                  <c:v>2300</c:v>
                </c:pt>
                <c:pt idx="17">
                  <c:v>2300</c:v>
                </c:pt>
                <c:pt idx="18">
                  <c:v>2300</c:v>
                </c:pt>
                <c:pt idx="19">
                  <c:v>2300</c:v>
                </c:pt>
                <c:pt idx="20">
                  <c:v>2300</c:v>
                </c:pt>
                <c:pt idx="21">
                  <c:v>2300</c:v>
                </c:pt>
                <c:pt idx="22">
                  <c:v>2300</c:v>
                </c:pt>
                <c:pt idx="23">
                  <c:v>2300</c:v>
                </c:pt>
                <c:pt idx="24">
                  <c:v>2300</c:v>
                </c:pt>
                <c:pt idx="25">
                  <c:v>2300</c:v>
                </c:pt>
                <c:pt idx="26">
                  <c:v>2300</c:v>
                </c:pt>
                <c:pt idx="27">
                  <c:v>2300</c:v>
                </c:pt>
                <c:pt idx="28">
                  <c:v>2300</c:v>
                </c:pt>
                <c:pt idx="29">
                  <c:v>2300</c:v>
                </c:pt>
                <c:pt idx="30">
                  <c:v>2300</c:v>
                </c:pt>
                <c:pt idx="31">
                  <c:v>2300</c:v>
                </c:pt>
                <c:pt idx="32">
                  <c:v>2300</c:v>
                </c:pt>
                <c:pt idx="33">
                  <c:v>2300</c:v>
                </c:pt>
                <c:pt idx="34">
                  <c:v>2300</c:v>
                </c:pt>
                <c:pt idx="35">
                  <c:v>2300</c:v>
                </c:pt>
                <c:pt idx="36">
                  <c:v>2300</c:v>
                </c:pt>
                <c:pt idx="37">
                  <c:v>2300</c:v>
                </c:pt>
                <c:pt idx="38">
                  <c:v>2300</c:v>
                </c:pt>
                <c:pt idx="39">
                  <c:v>2300</c:v>
                </c:pt>
                <c:pt idx="40">
                  <c:v>2300</c:v>
                </c:pt>
                <c:pt idx="41">
                  <c:v>2300</c:v>
                </c:pt>
                <c:pt idx="42">
                  <c:v>2300</c:v>
                </c:pt>
                <c:pt idx="43">
                  <c:v>2300</c:v>
                </c:pt>
                <c:pt idx="44">
                  <c:v>2300</c:v>
                </c:pt>
                <c:pt idx="45">
                  <c:v>2300</c:v>
                </c:pt>
                <c:pt idx="46">
                  <c:v>2300</c:v>
                </c:pt>
                <c:pt idx="47">
                  <c:v>2300</c:v>
                </c:pt>
                <c:pt idx="48">
                  <c:v>2300</c:v>
                </c:pt>
                <c:pt idx="49">
                  <c:v>2300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55-4A5B-AACD-D66A04437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7866192"/>
        <c:axId val="634380464"/>
      </c:barChart>
      <c:lineChart>
        <c:grouping val="standard"/>
        <c:varyColors val="0"/>
        <c:ser>
          <c:idx val="2"/>
          <c:order val="2"/>
          <c:tx>
            <c:v>Capacity</c:v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ProductionScheduleOptimization!$E$8:$E$57</c:f>
              <c:numCache>
                <c:formatCode>_(* #,##0_);_(* \(#,##0\);_(* "-"??_);_(@_)</c:formatCode>
                <c:ptCount val="50"/>
                <c:pt idx="0">
                  <c:v>2300</c:v>
                </c:pt>
                <c:pt idx="1">
                  <c:v>2300</c:v>
                </c:pt>
                <c:pt idx="2">
                  <c:v>2300</c:v>
                </c:pt>
                <c:pt idx="3">
                  <c:v>2300</c:v>
                </c:pt>
                <c:pt idx="4">
                  <c:v>2300</c:v>
                </c:pt>
                <c:pt idx="5">
                  <c:v>2300</c:v>
                </c:pt>
                <c:pt idx="6">
                  <c:v>2300</c:v>
                </c:pt>
                <c:pt idx="7">
                  <c:v>2300</c:v>
                </c:pt>
                <c:pt idx="8">
                  <c:v>2300</c:v>
                </c:pt>
                <c:pt idx="9">
                  <c:v>2300</c:v>
                </c:pt>
                <c:pt idx="10">
                  <c:v>2300</c:v>
                </c:pt>
                <c:pt idx="11">
                  <c:v>2300</c:v>
                </c:pt>
                <c:pt idx="12">
                  <c:v>2300</c:v>
                </c:pt>
                <c:pt idx="13">
                  <c:v>2300</c:v>
                </c:pt>
                <c:pt idx="14">
                  <c:v>2300</c:v>
                </c:pt>
                <c:pt idx="15">
                  <c:v>2300</c:v>
                </c:pt>
                <c:pt idx="16">
                  <c:v>2300</c:v>
                </c:pt>
                <c:pt idx="17">
                  <c:v>2300</c:v>
                </c:pt>
                <c:pt idx="18">
                  <c:v>2300</c:v>
                </c:pt>
                <c:pt idx="19">
                  <c:v>2300</c:v>
                </c:pt>
                <c:pt idx="20">
                  <c:v>2300</c:v>
                </c:pt>
                <c:pt idx="21">
                  <c:v>2300</c:v>
                </c:pt>
                <c:pt idx="22">
                  <c:v>2300</c:v>
                </c:pt>
                <c:pt idx="23">
                  <c:v>2300</c:v>
                </c:pt>
                <c:pt idx="24">
                  <c:v>2300</c:v>
                </c:pt>
                <c:pt idx="25">
                  <c:v>2300</c:v>
                </c:pt>
                <c:pt idx="26">
                  <c:v>2300</c:v>
                </c:pt>
                <c:pt idx="27">
                  <c:v>2300</c:v>
                </c:pt>
                <c:pt idx="28">
                  <c:v>2300</c:v>
                </c:pt>
                <c:pt idx="29">
                  <c:v>2300</c:v>
                </c:pt>
                <c:pt idx="30">
                  <c:v>2300</c:v>
                </c:pt>
                <c:pt idx="31">
                  <c:v>2300</c:v>
                </c:pt>
                <c:pt idx="32">
                  <c:v>2300</c:v>
                </c:pt>
                <c:pt idx="33">
                  <c:v>2300</c:v>
                </c:pt>
                <c:pt idx="34">
                  <c:v>2300</c:v>
                </c:pt>
                <c:pt idx="35">
                  <c:v>2300</c:v>
                </c:pt>
                <c:pt idx="36">
                  <c:v>2300</c:v>
                </c:pt>
                <c:pt idx="37">
                  <c:v>2300</c:v>
                </c:pt>
                <c:pt idx="38">
                  <c:v>2300</c:v>
                </c:pt>
                <c:pt idx="39">
                  <c:v>2300</c:v>
                </c:pt>
                <c:pt idx="40">
                  <c:v>2300</c:v>
                </c:pt>
                <c:pt idx="41">
                  <c:v>2300</c:v>
                </c:pt>
                <c:pt idx="42">
                  <c:v>2300</c:v>
                </c:pt>
                <c:pt idx="43">
                  <c:v>2300</c:v>
                </c:pt>
                <c:pt idx="44">
                  <c:v>2300</c:v>
                </c:pt>
                <c:pt idx="45">
                  <c:v>2300</c:v>
                </c:pt>
                <c:pt idx="46">
                  <c:v>2300</c:v>
                </c:pt>
                <c:pt idx="47">
                  <c:v>2300</c:v>
                </c:pt>
                <c:pt idx="48">
                  <c:v>2300</c:v>
                </c:pt>
                <c:pt idx="49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9-4832-87D4-B6D5F6842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866192"/>
        <c:axId val="634380464"/>
      </c:lineChart>
      <c:catAx>
        <c:axId val="637866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Week Number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380464"/>
        <c:crosses val="autoZero"/>
        <c:auto val="1"/>
        <c:lblAlgn val="ctr"/>
        <c:lblOffset val="100"/>
        <c:tickLblSkip val="4"/>
        <c:noMultiLvlLbl val="0"/>
      </c:catAx>
      <c:valAx>
        <c:axId val="63438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Demand/Production/Capacity (units)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86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Weekly Inventory Level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Production Schedule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ProductionScheduleOptimization!$D$8:$D$57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1224</c:v>
                </c:pt>
                <c:pt idx="3">
                  <c:v>2512</c:v>
                </c:pt>
                <c:pt idx="4">
                  <c:v>3825</c:v>
                </c:pt>
                <c:pt idx="5">
                  <c:v>5164</c:v>
                </c:pt>
                <c:pt idx="6">
                  <c:v>6444</c:v>
                </c:pt>
                <c:pt idx="7">
                  <c:v>7733</c:v>
                </c:pt>
                <c:pt idx="8">
                  <c:v>9060</c:v>
                </c:pt>
                <c:pt idx="9">
                  <c:v>9448</c:v>
                </c:pt>
                <c:pt idx="10">
                  <c:v>9805</c:v>
                </c:pt>
                <c:pt idx="11">
                  <c:v>10175</c:v>
                </c:pt>
                <c:pt idx="12">
                  <c:v>10485</c:v>
                </c:pt>
                <c:pt idx="13">
                  <c:v>11735</c:v>
                </c:pt>
                <c:pt idx="14">
                  <c:v>13005</c:v>
                </c:pt>
                <c:pt idx="15">
                  <c:v>14345</c:v>
                </c:pt>
                <c:pt idx="16">
                  <c:v>15687</c:v>
                </c:pt>
                <c:pt idx="17">
                  <c:v>16972</c:v>
                </c:pt>
                <c:pt idx="18">
                  <c:v>18258</c:v>
                </c:pt>
                <c:pt idx="19">
                  <c:v>19555</c:v>
                </c:pt>
                <c:pt idx="20">
                  <c:v>20827</c:v>
                </c:pt>
                <c:pt idx="21">
                  <c:v>22151</c:v>
                </c:pt>
                <c:pt idx="22">
                  <c:v>23492</c:v>
                </c:pt>
                <c:pt idx="23">
                  <c:v>24839</c:v>
                </c:pt>
                <c:pt idx="24">
                  <c:v>26103</c:v>
                </c:pt>
                <c:pt idx="25">
                  <c:v>27444</c:v>
                </c:pt>
                <c:pt idx="26">
                  <c:v>28734</c:v>
                </c:pt>
                <c:pt idx="27">
                  <c:v>30047</c:v>
                </c:pt>
                <c:pt idx="28">
                  <c:v>31337</c:v>
                </c:pt>
                <c:pt idx="29">
                  <c:v>31693</c:v>
                </c:pt>
                <c:pt idx="30">
                  <c:v>32014</c:v>
                </c:pt>
                <c:pt idx="31">
                  <c:v>32285</c:v>
                </c:pt>
                <c:pt idx="32">
                  <c:v>32535</c:v>
                </c:pt>
                <c:pt idx="33">
                  <c:v>31755</c:v>
                </c:pt>
                <c:pt idx="34">
                  <c:v>30945</c:v>
                </c:pt>
                <c:pt idx="35">
                  <c:v>29171</c:v>
                </c:pt>
                <c:pt idx="36">
                  <c:v>26331</c:v>
                </c:pt>
                <c:pt idx="37">
                  <c:v>22494</c:v>
                </c:pt>
                <c:pt idx="38">
                  <c:v>18803</c:v>
                </c:pt>
                <c:pt idx="39">
                  <c:v>15890</c:v>
                </c:pt>
                <c:pt idx="40">
                  <c:v>14302</c:v>
                </c:pt>
                <c:pt idx="41">
                  <c:v>14689</c:v>
                </c:pt>
                <c:pt idx="42">
                  <c:v>15077</c:v>
                </c:pt>
                <c:pt idx="43">
                  <c:v>15438</c:v>
                </c:pt>
                <c:pt idx="44">
                  <c:v>15641</c:v>
                </c:pt>
                <c:pt idx="45">
                  <c:v>14856</c:v>
                </c:pt>
                <c:pt idx="46">
                  <c:v>12148</c:v>
                </c:pt>
                <c:pt idx="47">
                  <c:v>8349</c:v>
                </c:pt>
                <c:pt idx="48">
                  <c:v>4851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8-4F56-B2E4-33AD8C6AE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7866192"/>
        <c:axId val="634380464"/>
      </c:barChart>
      <c:catAx>
        <c:axId val="637866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Week Number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380464"/>
        <c:crosses val="autoZero"/>
        <c:auto val="1"/>
        <c:lblAlgn val="ctr"/>
        <c:lblOffset val="100"/>
        <c:tickLblSkip val="4"/>
        <c:noMultiLvlLbl val="0"/>
      </c:catAx>
      <c:valAx>
        <c:axId val="63438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DInventory (units)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86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Capacity Inventory Tradeoff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CapInvTradeoff!$B$3</c:f>
              <c:strCache>
                <c:ptCount val="1"/>
                <c:pt idx="0">
                  <c:v>Avg. 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CapInvTradeoff!$A$4:$A$30</c:f>
              <c:numCache>
                <c:formatCode>_(* #,##0_);_(* \(#,##0\);_(* "-"??_);_(@_)</c:formatCode>
                <c:ptCount val="27"/>
                <c:pt idx="0">
                  <c:v>2245</c:v>
                </c:pt>
                <c:pt idx="1">
                  <c:v>2300</c:v>
                </c:pt>
                <c:pt idx="2">
                  <c:v>2400</c:v>
                </c:pt>
                <c:pt idx="3">
                  <c:v>2500</c:v>
                </c:pt>
                <c:pt idx="4">
                  <c:v>2600</c:v>
                </c:pt>
                <c:pt idx="5">
                  <c:v>2700</c:v>
                </c:pt>
                <c:pt idx="6">
                  <c:v>2800</c:v>
                </c:pt>
                <c:pt idx="7">
                  <c:v>2900</c:v>
                </c:pt>
                <c:pt idx="8">
                  <c:v>3000</c:v>
                </c:pt>
                <c:pt idx="9">
                  <c:v>3100</c:v>
                </c:pt>
                <c:pt idx="10">
                  <c:v>3200</c:v>
                </c:pt>
                <c:pt idx="11">
                  <c:v>3300</c:v>
                </c:pt>
                <c:pt idx="12">
                  <c:v>3400</c:v>
                </c:pt>
                <c:pt idx="13">
                  <c:v>3500</c:v>
                </c:pt>
                <c:pt idx="14">
                  <c:v>3600</c:v>
                </c:pt>
                <c:pt idx="15">
                  <c:v>3700</c:v>
                </c:pt>
                <c:pt idx="16">
                  <c:v>3800</c:v>
                </c:pt>
                <c:pt idx="17">
                  <c:v>3900</c:v>
                </c:pt>
                <c:pt idx="18">
                  <c:v>4000</c:v>
                </c:pt>
                <c:pt idx="19">
                  <c:v>4100</c:v>
                </c:pt>
                <c:pt idx="20">
                  <c:v>4200</c:v>
                </c:pt>
                <c:pt idx="21">
                  <c:v>4300</c:v>
                </c:pt>
                <c:pt idx="22">
                  <c:v>4400</c:v>
                </c:pt>
                <c:pt idx="23">
                  <c:v>4500</c:v>
                </c:pt>
                <c:pt idx="24">
                  <c:v>4600</c:v>
                </c:pt>
                <c:pt idx="25">
                  <c:v>4700</c:v>
                </c:pt>
                <c:pt idx="26">
                  <c:v>4800</c:v>
                </c:pt>
              </c:numCache>
            </c:numRef>
          </c:xVal>
          <c:yVal>
            <c:numRef>
              <c:f>CapInvTradeoff!$B$4:$B$30</c:f>
              <c:numCache>
                <c:formatCode>_(* #,##0.00_);_(* \(#,##0.00\);_(* "-"??_);_(@_)</c:formatCode>
                <c:ptCount val="2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E0-42BE-B133-0A7D3A03D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586480"/>
        <c:axId val="534587728"/>
      </c:scatterChart>
      <c:valAx>
        <c:axId val="534586480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(units/week)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87728"/>
        <c:crosses val="autoZero"/>
        <c:crossBetween val="midCat"/>
      </c:valAx>
      <c:valAx>
        <c:axId val="53458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Inventory (units)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86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200024</xdr:colOff>
      <xdr:row>1</xdr:row>
      <xdr:rowOff>200023</xdr:rowOff>
    </xdr:from>
    <xdr:to>
      <xdr:col>22</xdr:col>
      <xdr:colOff>66675</xdr:colOff>
      <xdr:row>32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34</xdr:row>
      <xdr:rowOff>0</xdr:rowOff>
    </xdr:from>
    <xdr:to>
      <xdr:col>22</xdr:col>
      <xdr:colOff>38101</xdr:colOff>
      <xdr:row>64</xdr:row>
      <xdr:rowOff>152402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190500</xdr:rowOff>
        </xdr:from>
        <xdr:to>
          <xdr:col>4</xdr:col>
          <xdr:colOff>285750</xdr:colOff>
          <xdr:row>4</xdr:row>
          <xdr:rowOff>76200</xdr:rowOff>
        </xdr:to>
        <xdr:sp macro="" textlink="">
          <xdr:nvSpPr>
            <xdr:cNvPr id="2049" name="btnCalculateT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200025</xdr:colOff>
      <xdr:row>6</xdr:row>
      <xdr:rowOff>104775</xdr:rowOff>
    </xdr:from>
    <xdr:to>
      <xdr:col>9</xdr:col>
      <xdr:colOff>657225</xdr:colOff>
      <xdr:row>20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9"/>
  <sheetViews>
    <sheetView tabSelected="1" topLeftCell="A2" zoomScale="106" zoomScaleNormal="106" workbookViewId="0">
      <selection activeCell="F35" sqref="F35"/>
    </sheetView>
  </sheetViews>
  <sheetFormatPr defaultRowHeight="15.75" x14ac:dyDescent="0.25"/>
  <cols>
    <col min="1" max="1" width="12.125" customWidth="1"/>
    <col min="2" max="2" width="13.875" customWidth="1"/>
    <col min="5" max="5" width="9" customWidth="1"/>
  </cols>
  <sheetData>
    <row r="1" spans="1:5" x14ac:dyDescent="0.25">
      <c r="A1" s="1" t="s">
        <v>4</v>
      </c>
    </row>
    <row r="3" spans="1:5" x14ac:dyDescent="0.25">
      <c r="A3" s="4" t="s">
        <v>1</v>
      </c>
      <c r="B3" s="7">
        <v>2300</v>
      </c>
      <c r="C3" s="4" t="s">
        <v>2</v>
      </c>
    </row>
    <row r="4" spans="1:5" x14ac:dyDescent="0.25">
      <c r="A4" s="5" t="s">
        <v>5</v>
      </c>
      <c r="B4" s="6">
        <f>AVERAGE(Demand)</f>
        <v>2245</v>
      </c>
      <c r="C4" s="5" t="s">
        <v>9</v>
      </c>
    </row>
    <row r="5" spans="1:5" x14ac:dyDescent="0.25">
      <c r="A5" s="5" t="s">
        <v>8</v>
      </c>
      <c r="B5" s="6">
        <f>AVERAGE(Inventory)</f>
        <v>16793.46</v>
      </c>
      <c r="C5" s="5" t="s">
        <v>9</v>
      </c>
    </row>
    <row r="7" spans="1:5" x14ac:dyDescent="0.25">
      <c r="A7" s="10" t="s">
        <v>0</v>
      </c>
      <c r="B7" s="10" t="s">
        <v>3</v>
      </c>
      <c r="C7" s="11" t="s">
        <v>6</v>
      </c>
      <c r="D7" s="11" t="s">
        <v>7</v>
      </c>
      <c r="E7" s="10" t="s">
        <v>1</v>
      </c>
    </row>
    <row r="8" spans="1:5" x14ac:dyDescent="0.25">
      <c r="A8" s="12">
        <v>1</v>
      </c>
      <c r="B8" s="12">
        <v>1009</v>
      </c>
      <c r="C8" s="12">
        <v>1009</v>
      </c>
      <c r="D8" s="12">
        <f>C8-B8</f>
        <v>0</v>
      </c>
      <c r="E8" s="13">
        <f t="shared" ref="E8:E39" si="0">Capacity</f>
        <v>2300</v>
      </c>
    </row>
    <row r="9" spans="1:5" x14ac:dyDescent="0.25">
      <c r="A9" s="12">
        <v>2</v>
      </c>
      <c r="B9" s="12">
        <v>962</v>
      </c>
      <c r="C9" s="12">
        <v>962</v>
      </c>
      <c r="D9" s="12">
        <f>D8+C9-B9</f>
        <v>0</v>
      </c>
      <c r="E9" s="13">
        <f t="shared" si="0"/>
        <v>2300</v>
      </c>
    </row>
    <row r="10" spans="1:5" x14ac:dyDescent="0.25">
      <c r="A10" s="12">
        <v>3</v>
      </c>
      <c r="B10" s="12">
        <v>955</v>
      </c>
      <c r="C10" s="12">
        <v>2179</v>
      </c>
      <c r="D10" s="12">
        <f t="shared" ref="D10:D57" si="1">D9+C10-B10</f>
        <v>1224</v>
      </c>
      <c r="E10" s="13">
        <f t="shared" si="0"/>
        <v>2300</v>
      </c>
    </row>
    <row r="11" spans="1:5" x14ac:dyDescent="0.25">
      <c r="A11" s="12">
        <v>4</v>
      </c>
      <c r="B11" s="12">
        <v>1012</v>
      </c>
      <c r="C11" s="12">
        <v>2300</v>
      </c>
      <c r="D11" s="12">
        <f t="shared" si="1"/>
        <v>2512</v>
      </c>
      <c r="E11" s="13">
        <f t="shared" si="0"/>
        <v>2300</v>
      </c>
    </row>
    <row r="12" spans="1:5" x14ac:dyDescent="0.25">
      <c r="A12" s="12">
        <v>5</v>
      </c>
      <c r="B12" s="12">
        <v>987</v>
      </c>
      <c r="C12" s="12">
        <v>2300</v>
      </c>
      <c r="D12" s="12">
        <f t="shared" si="1"/>
        <v>3825</v>
      </c>
      <c r="E12" s="13">
        <f t="shared" si="0"/>
        <v>2300</v>
      </c>
    </row>
    <row r="13" spans="1:5" x14ac:dyDescent="0.25">
      <c r="A13" s="12">
        <v>6</v>
      </c>
      <c r="B13" s="12">
        <v>961</v>
      </c>
      <c r="C13" s="12">
        <v>2300</v>
      </c>
      <c r="D13" s="12">
        <f t="shared" si="1"/>
        <v>5164</v>
      </c>
      <c r="E13" s="13">
        <f t="shared" si="0"/>
        <v>2300</v>
      </c>
    </row>
    <row r="14" spans="1:5" x14ac:dyDescent="0.25">
      <c r="A14" s="12">
        <v>7</v>
      </c>
      <c r="B14" s="12">
        <v>1020</v>
      </c>
      <c r="C14" s="12">
        <v>2300</v>
      </c>
      <c r="D14" s="12">
        <f t="shared" si="1"/>
        <v>6444</v>
      </c>
      <c r="E14" s="13">
        <f t="shared" si="0"/>
        <v>2300</v>
      </c>
    </row>
    <row r="15" spans="1:5" x14ac:dyDescent="0.25">
      <c r="A15" s="12">
        <v>8</v>
      </c>
      <c r="B15" s="12">
        <v>1011</v>
      </c>
      <c r="C15" s="12">
        <v>2300</v>
      </c>
      <c r="D15" s="12">
        <f t="shared" si="1"/>
        <v>7733</v>
      </c>
      <c r="E15" s="13">
        <f t="shared" si="0"/>
        <v>2300</v>
      </c>
    </row>
    <row r="16" spans="1:5" x14ac:dyDescent="0.25">
      <c r="A16" s="12">
        <v>9</v>
      </c>
      <c r="B16" s="12">
        <v>973</v>
      </c>
      <c r="C16" s="12">
        <v>2300</v>
      </c>
      <c r="D16" s="12">
        <f t="shared" si="1"/>
        <v>9060</v>
      </c>
      <c r="E16" s="13">
        <f t="shared" si="0"/>
        <v>2300</v>
      </c>
    </row>
    <row r="17" spans="1:5" x14ac:dyDescent="0.25">
      <c r="A17" s="12">
        <v>10</v>
      </c>
      <c r="B17" s="12">
        <v>1912</v>
      </c>
      <c r="C17" s="12">
        <v>2300</v>
      </c>
      <c r="D17" s="12">
        <f t="shared" si="1"/>
        <v>9448</v>
      </c>
      <c r="E17" s="13">
        <f t="shared" si="0"/>
        <v>2300</v>
      </c>
    </row>
    <row r="18" spans="1:5" x14ac:dyDescent="0.25">
      <c r="A18" s="12">
        <v>11</v>
      </c>
      <c r="B18" s="12">
        <v>1943</v>
      </c>
      <c r="C18" s="12">
        <v>2300</v>
      </c>
      <c r="D18" s="12">
        <f t="shared" si="1"/>
        <v>9805</v>
      </c>
      <c r="E18" s="13">
        <f t="shared" si="0"/>
        <v>2300</v>
      </c>
    </row>
    <row r="19" spans="1:5" x14ac:dyDescent="0.25">
      <c r="A19" s="12">
        <v>12</v>
      </c>
      <c r="B19" s="12">
        <v>1930</v>
      </c>
      <c r="C19" s="12">
        <v>2300</v>
      </c>
      <c r="D19" s="12">
        <f t="shared" si="1"/>
        <v>10175</v>
      </c>
      <c r="E19" s="13">
        <f t="shared" si="0"/>
        <v>2300</v>
      </c>
    </row>
    <row r="20" spans="1:5" x14ac:dyDescent="0.25">
      <c r="A20" s="12">
        <v>13</v>
      </c>
      <c r="B20" s="12">
        <v>1990</v>
      </c>
      <c r="C20" s="12">
        <v>2300</v>
      </c>
      <c r="D20" s="12">
        <f t="shared" si="1"/>
        <v>10485</v>
      </c>
      <c r="E20" s="13">
        <f t="shared" si="0"/>
        <v>2300</v>
      </c>
    </row>
    <row r="21" spans="1:5" x14ac:dyDescent="0.25">
      <c r="A21" s="12">
        <v>14</v>
      </c>
      <c r="B21" s="12">
        <v>1050</v>
      </c>
      <c r="C21" s="12">
        <v>2300</v>
      </c>
      <c r="D21" s="12">
        <f t="shared" si="1"/>
        <v>11735</v>
      </c>
      <c r="E21" s="13">
        <f t="shared" si="0"/>
        <v>2300</v>
      </c>
    </row>
    <row r="22" spans="1:5" x14ac:dyDescent="0.25">
      <c r="A22" s="12">
        <v>15</v>
      </c>
      <c r="B22" s="12">
        <v>1030</v>
      </c>
      <c r="C22" s="12">
        <v>2300</v>
      </c>
      <c r="D22" s="12">
        <f t="shared" si="1"/>
        <v>13005</v>
      </c>
      <c r="E22" s="13">
        <f t="shared" si="0"/>
        <v>2300</v>
      </c>
    </row>
    <row r="23" spans="1:5" x14ac:dyDescent="0.25">
      <c r="A23" s="12">
        <v>16</v>
      </c>
      <c r="B23" s="12">
        <v>960</v>
      </c>
      <c r="C23" s="12">
        <v>2300</v>
      </c>
      <c r="D23" s="12">
        <f t="shared" si="1"/>
        <v>14345</v>
      </c>
      <c r="E23" s="13">
        <f t="shared" si="0"/>
        <v>2300</v>
      </c>
    </row>
    <row r="24" spans="1:5" x14ac:dyDescent="0.25">
      <c r="A24" s="12">
        <v>17</v>
      </c>
      <c r="B24" s="12">
        <v>958</v>
      </c>
      <c r="C24" s="12">
        <v>2300</v>
      </c>
      <c r="D24" s="12">
        <f t="shared" si="1"/>
        <v>15687</v>
      </c>
      <c r="E24" s="13">
        <f t="shared" si="0"/>
        <v>2300</v>
      </c>
    </row>
    <row r="25" spans="1:5" x14ac:dyDescent="0.25">
      <c r="A25" s="12">
        <v>18</v>
      </c>
      <c r="B25" s="12">
        <v>1015</v>
      </c>
      <c r="C25" s="12">
        <v>2300</v>
      </c>
      <c r="D25" s="12">
        <f t="shared" si="1"/>
        <v>16972</v>
      </c>
      <c r="E25" s="13">
        <f t="shared" si="0"/>
        <v>2300</v>
      </c>
    </row>
    <row r="26" spans="1:5" x14ac:dyDescent="0.25">
      <c r="A26" s="12">
        <v>19</v>
      </c>
      <c r="B26" s="12">
        <v>1014</v>
      </c>
      <c r="C26" s="12">
        <v>2300</v>
      </c>
      <c r="D26" s="12">
        <f t="shared" si="1"/>
        <v>18258</v>
      </c>
      <c r="E26" s="13">
        <f t="shared" si="0"/>
        <v>2300</v>
      </c>
    </row>
    <row r="27" spans="1:5" x14ac:dyDescent="0.25">
      <c r="A27" s="12">
        <v>20</v>
      </c>
      <c r="B27" s="12">
        <v>1003</v>
      </c>
      <c r="C27" s="12">
        <v>2300</v>
      </c>
      <c r="D27" s="12">
        <f t="shared" si="1"/>
        <v>19555</v>
      </c>
      <c r="E27" s="13">
        <f t="shared" si="0"/>
        <v>2300</v>
      </c>
    </row>
    <row r="28" spans="1:5" x14ac:dyDescent="0.25">
      <c r="A28" s="12">
        <v>21</v>
      </c>
      <c r="B28" s="12">
        <v>1028</v>
      </c>
      <c r="C28" s="12">
        <v>2300</v>
      </c>
      <c r="D28" s="12">
        <f t="shared" si="1"/>
        <v>20827</v>
      </c>
      <c r="E28" s="13">
        <f t="shared" si="0"/>
        <v>2300</v>
      </c>
    </row>
    <row r="29" spans="1:5" x14ac:dyDescent="0.25">
      <c r="A29" s="12">
        <v>22</v>
      </c>
      <c r="B29" s="12">
        <v>976</v>
      </c>
      <c r="C29" s="12">
        <v>2300</v>
      </c>
      <c r="D29" s="12">
        <f t="shared" si="1"/>
        <v>22151</v>
      </c>
      <c r="E29" s="13">
        <f t="shared" si="0"/>
        <v>2300</v>
      </c>
    </row>
    <row r="30" spans="1:5" x14ac:dyDescent="0.25">
      <c r="A30" s="12">
        <v>23</v>
      </c>
      <c r="B30" s="12">
        <v>959</v>
      </c>
      <c r="C30" s="12">
        <v>2300</v>
      </c>
      <c r="D30" s="12">
        <f t="shared" si="1"/>
        <v>23492</v>
      </c>
      <c r="E30" s="13">
        <f t="shared" si="0"/>
        <v>2300</v>
      </c>
    </row>
    <row r="31" spans="1:5" x14ac:dyDescent="0.25">
      <c r="A31" s="12">
        <v>24</v>
      </c>
      <c r="B31" s="12">
        <v>953</v>
      </c>
      <c r="C31" s="12">
        <v>2300</v>
      </c>
      <c r="D31" s="12">
        <f t="shared" si="1"/>
        <v>24839</v>
      </c>
      <c r="E31" s="13">
        <f t="shared" si="0"/>
        <v>2300</v>
      </c>
    </row>
    <row r="32" spans="1:5" x14ac:dyDescent="0.25">
      <c r="A32" s="12">
        <v>25</v>
      </c>
      <c r="B32" s="12">
        <v>1036</v>
      </c>
      <c r="C32" s="12">
        <v>2300</v>
      </c>
      <c r="D32" s="12">
        <f t="shared" si="1"/>
        <v>26103</v>
      </c>
      <c r="E32" s="13">
        <f t="shared" si="0"/>
        <v>2300</v>
      </c>
    </row>
    <row r="33" spans="1:5" x14ac:dyDescent="0.25">
      <c r="A33" s="12">
        <v>26</v>
      </c>
      <c r="B33" s="12">
        <v>959</v>
      </c>
      <c r="C33" s="12">
        <v>2300</v>
      </c>
      <c r="D33" s="12">
        <f t="shared" si="1"/>
        <v>27444</v>
      </c>
      <c r="E33" s="13">
        <f t="shared" si="0"/>
        <v>2300</v>
      </c>
    </row>
    <row r="34" spans="1:5" x14ac:dyDescent="0.25">
      <c r="A34" s="12">
        <v>27</v>
      </c>
      <c r="B34" s="12">
        <v>1010</v>
      </c>
      <c r="C34" s="12">
        <v>2300</v>
      </c>
      <c r="D34" s="12">
        <f t="shared" si="1"/>
        <v>28734</v>
      </c>
      <c r="E34" s="13">
        <f t="shared" si="0"/>
        <v>2300</v>
      </c>
    </row>
    <row r="35" spans="1:5" x14ac:dyDescent="0.25">
      <c r="A35" s="12">
        <v>28</v>
      </c>
      <c r="B35" s="12">
        <v>987</v>
      </c>
      <c r="C35" s="12">
        <v>2300</v>
      </c>
      <c r="D35" s="12">
        <f t="shared" si="1"/>
        <v>30047</v>
      </c>
      <c r="E35" s="13">
        <f t="shared" si="0"/>
        <v>2300</v>
      </c>
    </row>
    <row r="36" spans="1:5" x14ac:dyDescent="0.25">
      <c r="A36" s="12">
        <v>29</v>
      </c>
      <c r="B36" s="12">
        <v>1010</v>
      </c>
      <c r="C36" s="12">
        <v>2300</v>
      </c>
      <c r="D36" s="12">
        <f t="shared" si="1"/>
        <v>31337</v>
      </c>
      <c r="E36" s="13">
        <f t="shared" si="0"/>
        <v>2300</v>
      </c>
    </row>
    <row r="37" spans="1:5" x14ac:dyDescent="0.25">
      <c r="A37" s="12">
        <v>30</v>
      </c>
      <c r="B37" s="12">
        <v>1944</v>
      </c>
      <c r="C37" s="12">
        <v>2300</v>
      </c>
      <c r="D37" s="12">
        <f t="shared" si="1"/>
        <v>31693</v>
      </c>
      <c r="E37" s="13">
        <f t="shared" si="0"/>
        <v>2300</v>
      </c>
    </row>
    <row r="38" spans="1:5" x14ac:dyDescent="0.25">
      <c r="A38" s="12">
        <v>31</v>
      </c>
      <c r="B38" s="12">
        <v>1979</v>
      </c>
      <c r="C38" s="12">
        <v>2300</v>
      </c>
      <c r="D38" s="12">
        <f t="shared" si="1"/>
        <v>32014</v>
      </c>
      <c r="E38" s="13">
        <f t="shared" si="0"/>
        <v>2300</v>
      </c>
    </row>
    <row r="39" spans="1:5" x14ac:dyDescent="0.25">
      <c r="A39" s="12">
        <v>32</v>
      </c>
      <c r="B39" s="12">
        <v>2029</v>
      </c>
      <c r="C39" s="12">
        <v>2300</v>
      </c>
      <c r="D39" s="12">
        <f t="shared" si="1"/>
        <v>32285</v>
      </c>
      <c r="E39" s="13">
        <f t="shared" si="0"/>
        <v>2300</v>
      </c>
    </row>
    <row r="40" spans="1:5" x14ac:dyDescent="0.25">
      <c r="A40" s="12">
        <v>33</v>
      </c>
      <c r="B40" s="12">
        <v>2050</v>
      </c>
      <c r="C40" s="12">
        <v>2300</v>
      </c>
      <c r="D40" s="12">
        <f t="shared" si="1"/>
        <v>32535</v>
      </c>
      <c r="E40" s="13">
        <f t="shared" ref="E40:E57" si="2">Capacity</f>
        <v>2300</v>
      </c>
    </row>
    <row r="41" spans="1:5" x14ac:dyDescent="0.25">
      <c r="A41" s="12">
        <v>34</v>
      </c>
      <c r="B41" s="12">
        <v>3080</v>
      </c>
      <c r="C41" s="12">
        <v>2300</v>
      </c>
      <c r="D41" s="12">
        <f t="shared" si="1"/>
        <v>31755</v>
      </c>
      <c r="E41" s="13">
        <f t="shared" si="2"/>
        <v>2300</v>
      </c>
    </row>
    <row r="42" spans="1:5" x14ac:dyDescent="0.25">
      <c r="A42" s="12">
        <v>35</v>
      </c>
      <c r="B42" s="12">
        <v>3110</v>
      </c>
      <c r="C42" s="12">
        <v>2300</v>
      </c>
      <c r="D42" s="12">
        <f t="shared" si="1"/>
        <v>30945</v>
      </c>
      <c r="E42" s="13">
        <f t="shared" si="2"/>
        <v>2300</v>
      </c>
    </row>
    <row r="43" spans="1:5" x14ac:dyDescent="0.25">
      <c r="A43" s="12">
        <v>36</v>
      </c>
      <c r="B43" s="12">
        <v>4074</v>
      </c>
      <c r="C43" s="12">
        <v>2300</v>
      </c>
      <c r="D43" s="12">
        <f t="shared" si="1"/>
        <v>29171</v>
      </c>
      <c r="E43" s="13">
        <f t="shared" si="2"/>
        <v>2300</v>
      </c>
    </row>
    <row r="44" spans="1:5" x14ac:dyDescent="0.25">
      <c r="A44" s="12">
        <v>37</v>
      </c>
      <c r="B44" s="12">
        <v>5140</v>
      </c>
      <c r="C44" s="12">
        <v>2300</v>
      </c>
      <c r="D44" s="12">
        <f t="shared" si="1"/>
        <v>26331</v>
      </c>
      <c r="E44" s="13">
        <f t="shared" si="2"/>
        <v>2300</v>
      </c>
    </row>
    <row r="45" spans="1:5" x14ac:dyDescent="0.25">
      <c r="A45" s="12">
        <v>38</v>
      </c>
      <c r="B45" s="12">
        <v>6137</v>
      </c>
      <c r="C45" s="12">
        <v>2300</v>
      </c>
      <c r="D45" s="12">
        <f t="shared" si="1"/>
        <v>22494</v>
      </c>
      <c r="E45" s="13">
        <f t="shared" si="2"/>
        <v>2300</v>
      </c>
    </row>
    <row r="46" spans="1:5" x14ac:dyDescent="0.25">
      <c r="A46" s="12">
        <v>39</v>
      </c>
      <c r="B46" s="12">
        <v>5991</v>
      </c>
      <c r="C46" s="12">
        <v>2300</v>
      </c>
      <c r="D46" s="12">
        <f t="shared" si="1"/>
        <v>18803</v>
      </c>
      <c r="E46" s="13">
        <f t="shared" si="2"/>
        <v>2300</v>
      </c>
    </row>
    <row r="47" spans="1:5" x14ac:dyDescent="0.25">
      <c r="A47" s="12">
        <v>40</v>
      </c>
      <c r="B47" s="12">
        <v>5213</v>
      </c>
      <c r="C47" s="12">
        <v>2300</v>
      </c>
      <c r="D47" s="12">
        <f t="shared" si="1"/>
        <v>15890</v>
      </c>
      <c r="E47" s="13">
        <f t="shared" si="2"/>
        <v>2300</v>
      </c>
    </row>
    <row r="48" spans="1:5" x14ac:dyDescent="0.25">
      <c r="A48" s="12">
        <v>41</v>
      </c>
      <c r="B48" s="12">
        <v>3888</v>
      </c>
      <c r="C48" s="12">
        <v>2300</v>
      </c>
      <c r="D48" s="12">
        <f t="shared" si="1"/>
        <v>14302</v>
      </c>
      <c r="E48" s="13">
        <f t="shared" si="2"/>
        <v>2300</v>
      </c>
    </row>
    <row r="49" spans="1:5" x14ac:dyDescent="0.25">
      <c r="A49" s="12">
        <v>42</v>
      </c>
      <c r="B49" s="12">
        <v>1913</v>
      </c>
      <c r="C49" s="12">
        <v>2300</v>
      </c>
      <c r="D49" s="12">
        <f t="shared" si="1"/>
        <v>14689</v>
      </c>
      <c r="E49" s="13">
        <f t="shared" si="2"/>
        <v>2300</v>
      </c>
    </row>
    <row r="50" spans="1:5" x14ac:dyDescent="0.25">
      <c r="A50" s="12">
        <v>43</v>
      </c>
      <c r="B50" s="12">
        <v>1912</v>
      </c>
      <c r="C50" s="12">
        <v>2300</v>
      </c>
      <c r="D50" s="12">
        <f t="shared" si="1"/>
        <v>15077</v>
      </c>
      <c r="E50" s="13">
        <f t="shared" si="2"/>
        <v>2300</v>
      </c>
    </row>
    <row r="51" spans="1:5" x14ac:dyDescent="0.25">
      <c r="A51" s="12">
        <v>44</v>
      </c>
      <c r="B51" s="12">
        <v>1939</v>
      </c>
      <c r="C51" s="12">
        <v>2300</v>
      </c>
      <c r="D51" s="12">
        <f t="shared" si="1"/>
        <v>15438</v>
      </c>
      <c r="E51" s="13">
        <f t="shared" si="2"/>
        <v>2300</v>
      </c>
    </row>
    <row r="52" spans="1:5" x14ac:dyDescent="0.25">
      <c r="A52" s="12">
        <v>45</v>
      </c>
      <c r="B52" s="12">
        <v>2097</v>
      </c>
      <c r="C52" s="12">
        <v>2300</v>
      </c>
      <c r="D52" s="12">
        <f t="shared" si="1"/>
        <v>15641</v>
      </c>
      <c r="E52" s="13">
        <f t="shared" si="2"/>
        <v>2300</v>
      </c>
    </row>
    <row r="53" spans="1:5" x14ac:dyDescent="0.25">
      <c r="A53" s="12">
        <v>46</v>
      </c>
      <c r="B53" s="12">
        <v>3085</v>
      </c>
      <c r="C53" s="12">
        <v>2300</v>
      </c>
      <c r="D53" s="12">
        <f t="shared" si="1"/>
        <v>14856</v>
      </c>
      <c r="E53" s="13">
        <f t="shared" si="2"/>
        <v>2300</v>
      </c>
    </row>
    <row r="54" spans="1:5" x14ac:dyDescent="0.25">
      <c r="A54" s="12">
        <v>47</v>
      </c>
      <c r="B54" s="12">
        <v>5008</v>
      </c>
      <c r="C54" s="12">
        <v>2300</v>
      </c>
      <c r="D54" s="12">
        <f t="shared" si="1"/>
        <v>12148</v>
      </c>
      <c r="E54" s="13">
        <f t="shared" si="2"/>
        <v>2300</v>
      </c>
    </row>
    <row r="55" spans="1:5" x14ac:dyDescent="0.25">
      <c r="A55" s="12">
        <v>48</v>
      </c>
      <c r="B55" s="12">
        <v>6099</v>
      </c>
      <c r="C55" s="12">
        <v>2300</v>
      </c>
      <c r="D55" s="12">
        <f t="shared" si="1"/>
        <v>8349</v>
      </c>
      <c r="E55" s="13">
        <f t="shared" si="2"/>
        <v>2300</v>
      </c>
    </row>
    <row r="56" spans="1:5" x14ac:dyDescent="0.25">
      <c r="A56" s="12">
        <v>49</v>
      </c>
      <c r="B56" s="12">
        <v>5798</v>
      </c>
      <c r="C56" s="12">
        <v>2300</v>
      </c>
      <c r="D56" s="12">
        <f t="shared" si="1"/>
        <v>4851</v>
      </c>
      <c r="E56" s="13">
        <f t="shared" si="2"/>
        <v>2300</v>
      </c>
    </row>
    <row r="57" spans="1:5" x14ac:dyDescent="0.25">
      <c r="A57" s="12">
        <v>50</v>
      </c>
      <c r="B57" s="12">
        <v>7151</v>
      </c>
      <c r="C57" s="12">
        <v>2300</v>
      </c>
      <c r="D57" s="12">
        <f t="shared" si="1"/>
        <v>0</v>
      </c>
      <c r="E57" s="13">
        <f t="shared" si="2"/>
        <v>2300</v>
      </c>
    </row>
    <row r="58" spans="1:5" x14ac:dyDescent="0.25">
      <c r="A58" s="8"/>
      <c r="B58" s="8"/>
      <c r="C58" s="8"/>
      <c r="D58" s="8"/>
    </row>
    <row r="59" spans="1:5" x14ac:dyDescent="0.25">
      <c r="A59" s="8"/>
      <c r="B59" s="8"/>
      <c r="C59" s="8"/>
      <c r="D59" s="8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30"/>
  <sheetViews>
    <sheetView workbookViewId="0">
      <selection activeCell="B30" sqref="B4:B30"/>
    </sheetView>
  </sheetViews>
  <sheetFormatPr defaultRowHeight="15.75" x14ac:dyDescent="0.25"/>
  <cols>
    <col min="1" max="1" width="9.125" bestFit="1" customWidth="1"/>
    <col min="2" max="2" width="12.125" bestFit="1" customWidth="1"/>
  </cols>
  <sheetData>
    <row r="1" spans="1:2" x14ac:dyDescent="0.25">
      <c r="A1" s="1" t="s">
        <v>10</v>
      </c>
    </row>
    <row r="3" spans="1:2" x14ac:dyDescent="0.25">
      <c r="A3" s="2" t="s">
        <v>1</v>
      </c>
      <c r="B3" s="2" t="s">
        <v>8</v>
      </c>
    </row>
    <row r="4" spans="1:2" x14ac:dyDescent="0.25">
      <c r="A4" s="3">
        <f>ProductionScheduleOptimization!AvgDemand</f>
        <v>2245</v>
      </c>
      <c r="B4" s="9"/>
    </row>
    <row r="5" spans="1:2" x14ac:dyDescent="0.25">
      <c r="A5" s="3">
        <f>FLOOR(A4+100,100)</f>
        <v>2300</v>
      </c>
      <c r="B5" s="9"/>
    </row>
    <row r="6" spans="1:2" x14ac:dyDescent="0.25">
      <c r="A6" s="3">
        <f t="shared" ref="A6:A30" si="0">FLOOR(A5+100,100)</f>
        <v>2400</v>
      </c>
      <c r="B6" s="9"/>
    </row>
    <row r="7" spans="1:2" x14ac:dyDescent="0.25">
      <c r="A7" s="3">
        <f t="shared" si="0"/>
        <v>2500</v>
      </c>
      <c r="B7" s="9"/>
    </row>
    <row r="8" spans="1:2" x14ac:dyDescent="0.25">
      <c r="A8" s="3">
        <f t="shared" si="0"/>
        <v>2600</v>
      </c>
      <c r="B8" s="9"/>
    </row>
    <row r="9" spans="1:2" x14ac:dyDescent="0.25">
      <c r="A9" s="3">
        <f t="shared" si="0"/>
        <v>2700</v>
      </c>
      <c r="B9" s="9"/>
    </row>
    <row r="10" spans="1:2" x14ac:dyDescent="0.25">
      <c r="A10" s="3">
        <f t="shared" si="0"/>
        <v>2800</v>
      </c>
      <c r="B10" s="9"/>
    </row>
    <row r="11" spans="1:2" x14ac:dyDescent="0.25">
      <c r="A11" s="3">
        <f t="shared" si="0"/>
        <v>2900</v>
      </c>
      <c r="B11" s="9"/>
    </row>
    <row r="12" spans="1:2" x14ac:dyDescent="0.25">
      <c r="A12" s="3">
        <f t="shared" si="0"/>
        <v>3000</v>
      </c>
      <c r="B12" s="9"/>
    </row>
    <row r="13" spans="1:2" x14ac:dyDescent="0.25">
      <c r="A13" s="3">
        <f t="shared" si="0"/>
        <v>3100</v>
      </c>
      <c r="B13" s="9"/>
    </row>
    <row r="14" spans="1:2" x14ac:dyDescent="0.25">
      <c r="A14" s="3">
        <f t="shared" si="0"/>
        <v>3200</v>
      </c>
      <c r="B14" s="9"/>
    </row>
    <row r="15" spans="1:2" x14ac:dyDescent="0.25">
      <c r="A15" s="3">
        <f t="shared" si="0"/>
        <v>3300</v>
      </c>
      <c r="B15" s="9"/>
    </row>
    <row r="16" spans="1:2" x14ac:dyDescent="0.25">
      <c r="A16" s="3">
        <f t="shared" si="0"/>
        <v>3400</v>
      </c>
      <c r="B16" s="9"/>
    </row>
    <row r="17" spans="1:2" x14ac:dyDescent="0.25">
      <c r="A17" s="3">
        <f t="shared" si="0"/>
        <v>3500</v>
      </c>
      <c r="B17" s="9"/>
    </row>
    <row r="18" spans="1:2" x14ac:dyDescent="0.25">
      <c r="A18" s="3">
        <f t="shared" si="0"/>
        <v>3600</v>
      </c>
      <c r="B18" s="9"/>
    </row>
    <row r="19" spans="1:2" x14ac:dyDescent="0.25">
      <c r="A19" s="3">
        <f>FLOOR(A18+100,100)</f>
        <v>3700</v>
      </c>
      <c r="B19" s="9"/>
    </row>
    <row r="20" spans="1:2" x14ac:dyDescent="0.25">
      <c r="A20" s="3">
        <f t="shared" si="0"/>
        <v>3800</v>
      </c>
      <c r="B20" s="9"/>
    </row>
    <row r="21" spans="1:2" x14ac:dyDescent="0.25">
      <c r="A21" s="3">
        <f>FLOOR(A20+100,100)</f>
        <v>3900</v>
      </c>
      <c r="B21" s="9"/>
    </row>
    <row r="22" spans="1:2" x14ac:dyDescent="0.25">
      <c r="A22" s="3">
        <f t="shared" si="0"/>
        <v>4000</v>
      </c>
      <c r="B22" s="9"/>
    </row>
    <row r="23" spans="1:2" x14ac:dyDescent="0.25">
      <c r="A23" s="3">
        <f t="shared" si="0"/>
        <v>4100</v>
      </c>
      <c r="B23" s="9"/>
    </row>
    <row r="24" spans="1:2" x14ac:dyDescent="0.25">
      <c r="A24" s="3">
        <f t="shared" si="0"/>
        <v>4200</v>
      </c>
      <c r="B24" s="9"/>
    </row>
    <row r="25" spans="1:2" x14ac:dyDescent="0.25">
      <c r="A25" s="3">
        <f t="shared" si="0"/>
        <v>4300</v>
      </c>
      <c r="B25" s="9"/>
    </row>
    <row r="26" spans="1:2" x14ac:dyDescent="0.25">
      <c r="A26" s="3">
        <f t="shared" si="0"/>
        <v>4400</v>
      </c>
      <c r="B26" s="9"/>
    </row>
    <row r="27" spans="1:2" x14ac:dyDescent="0.25">
      <c r="A27" s="3">
        <f t="shared" si="0"/>
        <v>4500</v>
      </c>
      <c r="B27" s="9"/>
    </row>
    <row r="28" spans="1:2" x14ac:dyDescent="0.25">
      <c r="A28" s="3">
        <f>FLOOR(A27+100,100)</f>
        <v>4600</v>
      </c>
      <c r="B28" s="9"/>
    </row>
    <row r="29" spans="1:2" x14ac:dyDescent="0.25">
      <c r="A29" s="3">
        <f t="shared" si="0"/>
        <v>4700</v>
      </c>
      <c r="B29" s="9"/>
    </row>
    <row r="30" spans="1:2" x14ac:dyDescent="0.25">
      <c r="A30" s="3">
        <f t="shared" si="0"/>
        <v>4800</v>
      </c>
      <c r="B30" s="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btnCalculateTO">
          <controlPr defaultSize="0" autoLine="0" r:id="rId4">
            <anchor moveWithCells="1">
              <from>
                <xdr:col>3</xdr:col>
                <xdr:colOff>9525</xdr:colOff>
                <xdr:row>1</xdr:row>
                <xdr:rowOff>190500</xdr:rowOff>
              </from>
              <to>
                <xdr:col>4</xdr:col>
                <xdr:colOff>285750</xdr:colOff>
                <xdr:row>4</xdr:row>
                <xdr:rowOff>76200</xdr:rowOff>
              </to>
            </anchor>
          </controlPr>
        </control>
      </mc:Choice>
      <mc:Fallback>
        <control shapeId="2049" r:id="rId3" name="btnCalculateT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ProductionScheduleOptimization</vt:lpstr>
      <vt:lpstr>CapInvTradeoff</vt:lpstr>
      <vt:lpstr>ProductionScheduleOptimization!AvgDemand</vt:lpstr>
      <vt:lpstr>ProductionScheduleOptimization!AvgInventory</vt:lpstr>
      <vt:lpstr>ProductionScheduleOptimization!Capacity</vt:lpstr>
      <vt:lpstr>ProductionScheduleOptimization!CapacitySeries</vt:lpstr>
      <vt:lpstr>ProductionScheduleOptimization!Demand</vt:lpstr>
      <vt:lpstr>CapInvTradeoff!HeadAvgInv</vt:lpstr>
      <vt:lpstr>CapInvTradeoff!HeadCap</vt:lpstr>
      <vt:lpstr>ProductionScheduleOptimization!Inventory</vt:lpstr>
      <vt:lpstr>ProductionScheduleOptimization!ProductionSchedule</vt:lpstr>
    </vt:vector>
  </TitlesOfParts>
  <Company>William &amp; Mary - Raymond A. Mason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Bradley, James</dc:creator>
  <cp:lastModifiedBy>Bradley, Jim R</cp:lastModifiedBy>
  <dcterms:created xsi:type="dcterms:W3CDTF">2016-09-03T01:18:01Z</dcterms:created>
  <dcterms:modified xsi:type="dcterms:W3CDTF">2023-11-29T23:39:55Z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4ef21e86-44ea-4dde-a101-8d5ac908c146</vt:lpwstr>
  </property>
</Properties>
</file>